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bacr\VPSsync\01-WorkspaceSync\modelica-shared\CustomLib\Workspace\Panjandrum\"/>
    </mc:Choice>
  </mc:AlternateContent>
  <xr:revisionPtr revIDLastSave="0" documentId="13_ncr:1_{DEC23DF6-51C7-4A43-97D6-1526B2CF627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 iterate="1" iterate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3" i="1" l="1"/>
  <c r="H3" i="1"/>
  <c r="I3" i="1"/>
  <c r="F3" i="1"/>
  <c r="C6" i="1"/>
  <c r="C7" i="1"/>
  <c r="C8" i="1"/>
  <c r="C9" i="1"/>
  <c r="C5" i="1"/>
  <c r="P5" i="1"/>
  <c r="P9" i="1"/>
  <c r="P6" i="1"/>
  <c r="P7" i="1"/>
  <c r="P8" i="1"/>
  <c r="P11" i="1" l="1"/>
</calcChain>
</file>

<file path=xl/sharedStrings.xml><?xml version="1.0" encoding="utf-8"?>
<sst xmlns="http://schemas.openxmlformats.org/spreadsheetml/2006/main" count="18" uniqueCount="6">
  <si>
    <t>u1↓　u2→</t>
    <phoneticPr fontId="2"/>
  </si>
  <si>
    <t xml:space="preserve">, </t>
    <phoneticPr fontId="2"/>
  </si>
  <si>
    <t>]</t>
    <phoneticPr fontId="2"/>
  </si>
  <si>
    <t xml:space="preserve">; </t>
    <phoneticPr fontId="2"/>
  </si>
  <si>
    <t>=</t>
    <phoneticPr fontId="2"/>
  </si>
  <si>
    <t>[0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</si>
</sst>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Noto Sans JP"/>
      <family val="2"/>
      <charset val="128"/>
    </font>
    <font>
      <sz val="10"/>
      <name val="Arial"/>
      <family val="2"/>
      <charset val="128"/>
    </font>
    <font>
      <sz val="6"/>
      <name val="Noto Sans JP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0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z - y</a:t>
            </a:r>
            <a:r>
              <a:rPr lang="en-US" altLang="ja-JP" baseline="0"/>
              <a:t> - x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5"/>
      <c:rotY val="3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Sheet1!$E$6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Sheet1!$F$5:$I$5</c:f>
              <c:numCache>
                <c:formatCode>General</c:formatCode>
                <c:ptCount val="4"/>
                <c:pt idx="0">
                  <c:v>-10</c:v>
                </c:pt>
                <c:pt idx="1">
                  <c:v>-0.9</c:v>
                </c:pt>
                <c:pt idx="2">
                  <c:v>-0.89</c:v>
                </c:pt>
                <c:pt idx="3">
                  <c:v>0</c:v>
                </c:pt>
              </c:numCache>
            </c:numRef>
          </c:cat>
          <c:val>
            <c:numRef>
              <c:f>Sheet1!$F$6:$I$6</c:f>
              <c:numCache>
                <c:formatCode>General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0-4EF4-84B5-5D4B8C97C67E}"/>
            </c:ext>
          </c:extLst>
        </c:ser>
        <c:ser>
          <c:idx val="1"/>
          <c:order val="1"/>
          <c:tx>
            <c:strRef>
              <c:f>Sheet1!$E$7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Sheet1!$F$5:$I$5</c:f>
              <c:numCache>
                <c:formatCode>General</c:formatCode>
                <c:ptCount val="4"/>
                <c:pt idx="0">
                  <c:v>-10</c:v>
                </c:pt>
                <c:pt idx="1">
                  <c:v>-0.9</c:v>
                </c:pt>
                <c:pt idx="2">
                  <c:v>-0.89</c:v>
                </c:pt>
                <c:pt idx="3">
                  <c:v>0</c:v>
                </c:pt>
              </c:numCache>
            </c:numRef>
          </c:cat>
          <c:val>
            <c:numRef>
              <c:f>Sheet1!$F$7:$I$7</c:f>
              <c:numCache>
                <c:formatCode>General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0-4EF4-84B5-5D4B8C97C67E}"/>
            </c:ext>
          </c:extLst>
        </c:ser>
        <c:ser>
          <c:idx val="2"/>
          <c:order val="2"/>
          <c:tx>
            <c:strRef>
              <c:f>Sheet1!$E$8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Sheet1!$F$5:$I$5</c:f>
              <c:numCache>
                <c:formatCode>General</c:formatCode>
                <c:ptCount val="4"/>
                <c:pt idx="0">
                  <c:v>-10</c:v>
                </c:pt>
                <c:pt idx="1">
                  <c:v>-0.9</c:v>
                </c:pt>
                <c:pt idx="2">
                  <c:v>-0.89</c:v>
                </c:pt>
                <c:pt idx="3">
                  <c:v>0</c:v>
                </c:pt>
              </c:numCache>
            </c:numRef>
          </c:cat>
          <c:val>
            <c:numRef>
              <c:f>Sheet1!$F$8:$I$8</c:f>
              <c:numCache>
                <c:formatCode>General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0-4EF4-84B5-5D4B8C97C67E}"/>
            </c:ext>
          </c:extLst>
        </c:ser>
        <c:ser>
          <c:idx val="3"/>
          <c:order val="3"/>
          <c:tx>
            <c:strRef>
              <c:f>Sheet1!$E$9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Sheet1!$F$5:$I$5</c:f>
              <c:numCache>
                <c:formatCode>General</c:formatCode>
                <c:ptCount val="4"/>
                <c:pt idx="0">
                  <c:v>-10</c:v>
                </c:pt>
                <c:pt idx="1">
                  <c:v>-0.9</c:v>
                </c:pt>
                <c:pt idx="2">
                  <c:v>-0.89</c:v>
                </c:pt>
                <c:pt idx="3">
                  <c:v>0</c:v>
                </c:pt>
              </c:numCache>
            </c:numRef>
          </c:cat>
          <c:val>
            <c:numRef>
              <c:f>Sheet1!$F$9:$I$9</c:f>
              <c:numCache>
                <c:formatCode>General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E0-4EF4-84B5-5D4B8C97C67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32263728"/>
        <c:axId val="1132269008"/>
        <c:axId val="1342716864"/>
      </c:surface3DChart>
      <c:catAx>
        <c:axId val="11322637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y</a:t>
                </a:r>
                <a:endParaRPr lang="ja-JP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2269008"/>
        <c:crosses val="autoZero"/>
        <c:auto val="1"/>
        <c:lblAlgn val="ctr"/>
        <c:lblOffset val="100"/>
        <c:noMultiLvlLbl val="0"/>
      </c:catAx>
      <c:valAx>
        <c:axId val="11322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z</a:t>
                </a:r>
                <a:endParaRPr lang="ja-JP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2263728"/>
        <c:crosses val="autoZero"/>
        <c:crossBetween val="midCat"/>
      </c:valAx>
      <c:serAx>
        <c:axId val="1342716864"/>
        <c:scaling>
          <c:orientation val="minMax"/>
        </c:scaling>
        <c:delete val="0"/>
        <c:axPos val="b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x</a:t>
                </a:r>
                <a:endParaRPr lang="ja-JP" altLang="en-US"/>
              </a:p>
            </c:rich>
          </c:tx>
          <c:overlay val="0"/>
        </c:title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226900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20</xdr:col>
      <xdr:colOff>632460</xdr:colOff>
      <xdr:row>26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5E32D54-C822-4402-94B7-E5D822D49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2"/>
  <sheetViews>
    <sheetView tabSelected="1" zoomScaleNormal="100" workbookViewId="0">
      <selection activeCell="J20" sqref="J20"/>
    </sheetView>
  </sheetViews>
  <sheetFormatPr defaultColWidth="11.5546875" defaultRowHeight="17.399999999999999" x14ac:dyDescent="0.45"/>
  <cols>
    <col min="1" max="2" width="4.44140625" customWidth="1"/>
    <col min="4" max="4" width="2.21875" customWidth="1"/>
    <col min="10" max="10" width="2.33203125" customWidth="1"/>
    <col min="11" max="11" width="2.6640625" customWidth="1"/>
    <col min="12" max="12" width="2" customWidth="1"/>
    <col min="13" max="13" width="2.77734375" customWidth="1"/>
    <col min="14" max="14" width="1.88671875" customWidth="1"/>
    <col min="15" max="15" width="2.109375" customWidth="1"/>
    <col min="16" max="16" width="20.44140625" customWidth="1"/>
  </cols>
  <sheetData>
    <row r="1" spans="3:16" x14ac:dyDescent="0.45">
      <c r="O1" s="2"/>
    </row>
    <row r="3" spans="3:16" x14ac:dyDescent="0.45">
      <c r="C3" t="s">
        <v>0</v>
      </c>
      <c r="F3">
        <f>COLUMN()-COLUMN($E3)</f>
        <v>1</v>
      </c>
      <c r="G3">
        <f t="shared" ref="G3:I3" si="0">COLUMN()-COLUMN($E3)</f>
        <v>2</v>
      </c>
      <c r="H3">
        <f t="shared" si="0"/>
        <v>3</v>
      </c>
      <c r="I3">
        <f t="shared" si="0"/>
        <v>4</v>
      </c>
    </row>
    <row r="4" spans="3:16" ht="9.6" customHeight="1" x14ac:dyDescent="0.45"/>
    <row r="5" spans="3:16" x14ac:dyDescent="0.45">
      <c r="C5">
        <f>ROW()-ROW(C$4)</f>
        <v>1</v>
      </c>
      <c r="E5" s="6"/>
      <c r="F5">
        <v>-10</v>
      </c>
      <c r="G5">
        <v>-0.9</v>
      </c>
      <c r="H5">
        <v>-0.89</v>
      </c>
      <c r="I5">
        <v>0</v>
      </c>
      <c r="K5" t="s">
        <v>5</v>
      </c>
      <c r="L5" t="s">
        <v>1</v>
      </c>
      <c r="M5" t="s">
        <v>3</v>
      </c>
      <c r="O5" t="s">
        <v>4</v>
      </c>
      <c r="P5" t="str">
        <f>$K5&amp;E5&amp;$L5&amp;F5&amp;$L5&amp;G5&amp;$L5&amp;H5&amp;$L5&amp;I5&amp;$M5</f>
        <v xml:space="preserve">[0, -10, -0.9, -0.89, 0; </v>
      </c>
    </row>
    <row r="6" spans="3:16" x14ac:dyDescent="0.45">
      <c r="C6">
        <f t="shared" ref="C6:C9" si="1">ROW()-ROW(C$4)</f>
        <v>2</v>
      </c>
      <c r="E6">
        <v>0</v>
      </c>
      <c r="F6" s="3">
        <v>0.2</v>
      </c>
      <c r="G6" s="3">
        <v>0.2</v>
      </c>
      <c r="H6" s="3">
        <v>0</v>
      </c>
      <c r="I6" s="3">
        <v>0</v>
      </c>
      <c r="L6" t="s">
        <v>1</v>
      </c>
      <c r="M6" t="s">
        <v>3</v>
      </c>
      <c r="O6" t="s">
        <v>4</v>
      </c>
      <c r="P6" t="str">
        <f>E6&amp;$L6&amp;F6&amp;$L6&amp;G6&amp;$L6&amp;H6&amp;$L6&amp;I6&amp;$M6</f>
        <v xml:space="preserve">0, 0.2, 0.2, 0, 0; </v>
      </c>
    </row>
    <row r="7" spans="3:16" x14ac:dyDescent="0.45">
      <c r="C7">
        <f t="shared" si="1"/>
        <v>3</v>
      </c>
      <c r="E7" s="1">
        <v>1</v>
      </c>
      <c r="F7" s="3">
        <v>0.2</v>
      </c>
      <c r="G7" s="3">
        <v>0.2</v>
      </c>
      <c r="H7" s="4">
        <v>0</v>
      </c>
      <c r="I7" s="4">
        <v>0</v>
      </c>
      <c r="L7" t="s">
        <v>1</v>
      </c>
      <c r="M7" t="s">
        <v>3</v>
      </c>
      <c r="O7" t="s">
        <v>4</v>
      </c>
      <c r="P7" t="str">
        <f>E7&amp;$L7&amp;F7&amp;$L7&amp;G7&amp;$L7&amp;H7&amp;$L7&amp;I7&amp;$M7</f>
        <v xml:space="preserve">1, 0.2, 0.2, 0, 0; </v>
      </c>
    </row>
    <row r="8" spans="3:16" x14ac:dyDescent="0.45">
      <c r="C8">
        <f t="shared" si="1"/>
        <v>4</v>
      </c>
      <c r="E8">
        <v>2</v>
      </c>
      <c r="F8" s="3">
        <v>0.2</v>
      </c>
      <c r="G8" s="3">
        <v>0.2</v>
      </c>
      <c r="H8" s="5">
        <v>0</v>
      </c>
      <c r="I8" s="5">
        <v>0</v>
      </c>
      <c r="L8" t="s">
        <v>1</v>
      </c>
      <c r="M8" t="s">
        <v>3</v>
      </c>
      <c r="O8" t="s">
        <v>4</v>
      </c>
      <c r="P8" t="str">
        <f>E8&amp;$L8&amp;F8&amp;$L8&amp;G8&amp;$L8&amp;H8&amp;$L8&amp;I8&amp;$M8</f>
        <v xml:space="preserve">2, 0.2, 0.2, 0, 0; </v>
      </c>
    </row>
    <row r="9" spans="3:16" x14ac:dyDescent="0.45">
      <c r="C9">
        <f t="shared" si="1"/>
        <v>5</v>
      </c>
      <c r="E9">
        <v>10</v>
      </c>
      <c r="F9" s="3">
        <v>0.2</v>
      </c>
      <c r="G9" s="3">
        <v>0.2</v>
      </c>
      <c r="H9" s="4">
        <v>0</v>
      </c>
      <c r="I9" s="4">
        <v>0</v>
      </c>
      <c r="L9" t="s">
        <v>1</v>
      </c>
      <c r="M9" t="s">
        <v>2</v>
      </c>
      <c r="O9" t="s">
        <v>4</v>
      </c>
      <c r="P9" t="str">
        <f>E9&amp;$L9&amp;F9&amp;$L9&amp;G9&amp;$L9&amp;H9&amp;$L9&amp;I9&amp;$M9</f>
        <v>10, 0.2, 0.2, 0, 0]</v>
      </c>
    </row>
    <row r="10" spans="3:16" x14ac:dyDescent="0.45">
      <c r="H10" s="1"/>
      <c r="I10" s="1"/>
    </row>
    <row r="11" spans="3:16" x14ac:dyDescent="0.45">
      <c r="H11" s="1"/>
      <c r="I11" s="1"/>
      <c r="O11" t="s">
        <v>4</v>
      </c>
      <c r="P11" t="str">
        <f>P5&amp;P6&amp;P7&amp;P8&amp;P9</f>
        <v>[0, -10, -0.9, -0.89, 0; 0, 0.2, 0.2, 0, 0; 1, 0.2, 0.2, 0, 0; 2, 0.2, 0.2, 0, 0; 10, 0.2, 0.2, 0, 0]</v>
      </c>
    </row>
    <row r="12" spans="3:16" x14ac:dyDescent="0.45">
      <c r="H12" s="1"/>
      <c r="I12" s="1"/>
    </row>
  </sheetData>
  <phoneticPr fontId="2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5 az</cp:lastModifiedBy>
  <cp:revision>1</cp:revision>
  <dcterms:created xsi:type="dcterms:W3CDTF">2026-06-07T18:15:29Z</dcterms:created>
  <dcterms:modified xsi:type="dcterms:W3CDTF">2026-06-14T07:42:37Z</dcterms:modified>
  <dc:language>ja-JP</dc:language>
</cp:coreProperties>
</file>